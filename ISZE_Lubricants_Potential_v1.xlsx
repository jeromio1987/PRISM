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V:\Sales\IE40 - Vehicle Parts\Oil\"/>
    </mc:Choice>
  </mc:AlternateContent>
  <xr:revisionPtr revIDLastSave="0" documentId="13_ncr:1_{7381838B-2232-4D84-A718-1A0B54A8913B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Assumptions" sheetId="1" r:id="rId1"/>
    <sheet name="Total Potential" sheetId="2" r:id="rId2"/>
    <sheet name="Country Summary" sheetId="3" r:id="rId3"/>
    <sheet name="Besco Baseline (Current)" sheetId="4" r:id="rId4"/>
  </sheets>
  <definedNames>
    <definedName name="_xlnm._FilterDatabase" localSheetId="1" hidden="1">'Total Potential'!$A$4:$J$4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4" l="1"/>
  <c r="D24" i="3"/>
  <c r="C24" i="3"/>
  <c r="D23" i="3"/>
  <c r="C23" i="3"/>
  <c r="G21" i="3"/>
  <c r="F21" i="3"/>
  <c r="E21" i="3"/>
  <c r="G20" i="3"/>
  <c r="F20" i="3"/>
  <c r="E20" i="3"/>
  <c r="G19" i="3"/>
  <c r="F19" i="3"/>
  <c r="E19" i="3"/>
  <c r="G18" i="3"/>
  <c r="F18" i="3"/>
  <c r="E18" i="3"/>
  <c r="G17" i="3"/>
  <c r="F17" i="3"/>
  <c r="E17" i="3"/>
  <c r="G16" i="3"/>
  <c r="F16" i="3"/>
  <c r="E16" i="3"/>
  <c r="G15" i="3"/>
  <c r="F15" i="3"/>
  <c r="E15" i="3"/>
  <c r="G14" i="3"/>
  <c r="F14" i="3"/>
  <c r="E14" i="3"/>
  <c r="G13" i="3"/>
  <c r="F13" i="3"/>
  <c r="E13" i="3"/>
  <c r="G12" i="3"/>
  <c r="F12" i="3"/>
  <c r="E12" i="3"/>
  <c r="G11" i="3"/>
  <c r="F11" i="3"/>
  <c r="E11" i="3"/>
  <c r="G10" i="3"/>
  <c r="F10" i="3"/>
  <c r="E10" i="3"/>
  <c r="G9" i="3"/>
  <c r="F9" i="3"/>
  <c r="E9" i="3"/>
  <c r="G8" i="3"/>
  <c r="F8" i="3"/>
  <c r="E8" i="3"/>
  <c r="G7" i="3"/>
  <c r="F7" i="3"/>
  <c r="E7" i="3"/>
  <c r="G6" i="3"/>
  <c r="F6" i="3"/>
  <c r="E6" i="3"/>
  <c r="G5" i="3"/>
  <c r="F5" i="3"/>
  <c r="E5" i="3"/>
  <c r="G39" i="2"/>
  <c r="G38" i="2"/>
  <c r="G37" i="2"/>
  <c r="J19" i="2"/>
  <c r="I19" i="2"/>
  <c r="H19" i="2"/>
  <c r="J18" i="2"/>
  <c r="I18" i="2"/>
  <c r="H18" i="2"/>
  <c r="J17" i="2"/>
  <c r="I17" i="2"/>
  <c r="H17" i="2"/>
  <c r="J31" i="2"/>
  <c r="I31" i="2"/>
  <c r="H31" i="2"/>
  <c r="J13" i="2"/>
  <c r="I13" i="2"/>
  <c r="H13" i="2"/>
  <c r="J26" i="2"/>
  <c r="I26" i="2"/>
  <c r="H26" i="2"/>
  <c r="J33" i="2"/>
  <c r="I33" i="2"/>
  <c r="H33" i="2"/>
  <c r="J16" i="2"/>
  <c r="I16" i="2"/>
  <c r="H16" i="2"/>
  <c r="J23" i="2"/>
  <c r="I23" i="2"/>
  <c r="H23" i="2"/>
  <c r="J28" i="2"/>
  <c r="I28" i="2"/>
  <c r="H28" i="2"/>
  <c r="J15" i="2"/>
  <c r="I15" i="2"/>
  <c r="H15" i="2"/>
  <c r="J30" i="2"/>
  <c r="I30" i="2"/>
  <c r="H30" i="2"/>
  <c r="J9" i="2"/>
  <c r="I9" i="2"/>
  <c r="H9" i="2"/>
  <c r="J29" i="2"/>
  <c r="I29" i="2"/>
  <c r="H29" i="2"/>
  <c r="J32" i="2"/>
  <c r="I32" i="2"/>
  <c r="H32" i="2"/>
  <c r="J25" i="2"/>
  <c r="I25" i="2"/>
  <c r="H25" i="2"/>
  <c r="J24" i="2"/>
  <c r="I24" i="2"/>
  <c r="H24" i="2"/>
  <c r="J27" i="2"/>
  <c r="I27" i="2"/>
  <c r="H27" i="2"/>
  <c r="J35" i="2"/>
  <c r="I35" i="2"/>
  <c r="H35" i="2"/>
  <c r="J22" i="2"/>
  <c r="I22" i="2"/>
  <c r="H22" i="2"/>
  <c r="J12" i="2"/>
  <c r="I12" i="2"/>
  <c r="H12" i="2"/>
  <c r="J7" i="2"/>
  <c r="I7" i="2"/>
  <c r="H7" i="2"/>
  <c r="J21" i="2"/>
  <c r="I21" i="2"/>
  <c r="H21" i="2"/>
  <c r="J20" i="2"/>
  <c r="I20" i="2"/>
  <c r="H20" i="2"/>
  <c r="J11" i="2"/>
  <c r="I11" i="2"/>
  <c r="H11" i="2"/>
  <c r="J10" i="2"/>
  <c r="I10" i="2"/>
  <c r="H10" i="2"/>
  <c r="J14" i="2"/>
  <c r="I14" i="2"/>
  <c r="H14" i="2"/>
  <c r="J8" i="2"/>
  <c r="I8" i="2"/>
  <c r="H8" i="2"/>
  <c r="J34" i="2"/>
  <c r="I34" i="2"/>
  <c r="H34" i="2"/>
  <c r="J6" i="2"/>
  <c r="I6" i="2"/>
  <c r="H6" i="2"/>
  <c r="J5" i="2"/>
  <c r="I5" i="2"/>
  <c r="H5" i="2"/>
  <c r="D8" i="1"/>
  <c r="D7" i="1"/>
  <c r="D6" i="1"/>
  <c r="G24" i="3" l="1"/>
  <c r="G23" i="3"/>
  <c r="F24" i="3"/>
  <c r="F23" i="3"/>
  <c r="E24" i="3"/>
  <c r="E23" i="3"/>
  <c r="H39" i="2"/>
  <c r="J39" i="2"/>
  <c r="I39" i="2"/>
  <c r="J38" i="2"/>
  <c r="I38" i="2"/>
  <c r="H38" i="2"/>
  <c r="I37" i="2"/>
  <c r="J37" i="2"/>
  <c r="H37" i="2"/>
</calcChain>
</file>

<file path=xl/sharedStrings.xml><?xml version="1.0" encoding="utf-8"?>
<sst xmlns="http://schemas.openxmlformats.org/spreadsheetml/2006/main" count="218" uniqueCount="108">
  <si>
    <t>ISZE LUBRICANTS POTENTIAL MODEL  |  Assumptions &amp; Inputs</t>
  </si>
  <si>
    <t>April 2026  |  Blue cells = manual inputs  |  Version 1.0</t>
  </si>
  <si>
    <t>SECTION A — DEMAND CALCULATION FRAMEWORK</t>
  </si>
  <si>
    <t>Segment</t>
  </si>
  <si>
    <t>Oil per Service (L)</t>
  </si>
  <si>
    <t>Services per Year</t>
  </si>
  <si>
    <t>Annual Oil/Vehicle (L)</t>
  </si>
  <si>
    <t>LCV (D-Max)</t>
  </si>
  <si>
    <t>LD (N-Series)</t>
  </si>
  <si>
    <t>MD (F-Series)</t>
  </si>
  <si>
    <t>Parameter</t>
  </si>
  <si>
    <t>Value / Status</t>
  </si>
  <si>
    <t>Note</t>
  </si>
  <si>
    <t>Price per litre</t>
  </si>
  <si>
    <t>NOT INCLUDED</t>
  </si>
  <si>
    <t>No verified DB sell-in price available. Volume model only.</t>
  </si>
  <si>
    <t>Israel (UTI/UMI)</t>
  </si>
  <si>
    <t>NOT WILLING</t>
  </si>
  <si>
    <t>UTI &amp; UMI explicitly flagged as not willing to change supplier.</t>
  </si>
  <si>
    <t>Interval assumption</t>
  </si>
  <si>
    <t>2× per year</t>
  </si>
  <si>
    <t>All segments: twice-yearly service assumed (confirmed framework).</t>
  </si>
  <si>
    <t>ISZE LUBRICANTS PROJECT  |  Total Market Potential by Country &amp; Segment</t>
  </si>
  <si>
    <t>Country</t>
  </si>
  <si>
    <t>Distributor</t>
  </si>
  <si>
    <t>UIO (2025E)</t>
  </si>
  <si>
    <t>Oil/Service (L)</t>
  </si>
  <si>
    <t>Services/Yr</t>
  </si>
  <si>
    <t>Annual Vol. (L)</t>
  </si>
  <si>
    <t>Conservative
(10%)</t>
  </si>
  <si>
    <t>Base
(25%)</t>
  </si>
  <si>
    <t>Optimistic
(50%)</t>
  </si>
  <si>
    <t>United Kingdom</t>
  </si>
  <si>
    <t>ITUK / IUK</t>
  </si>
  <si>
    <t>Belgium</t>
  </si>
  <si>
    <t>IBX</t>
  </si>
  <si>
    <t>Sweden</t>
  </si>
  <si>
    <t>IM Nordic</t>
  </si>
  <si>
    <t>Norway</t>
  </si>
  <si>
    <t>RSA</t>
  </si>
  <si>
    <t>Portugal</t>
  </si>
  <si>
    <t>Imotors</t>
  </si>
  <si>
    <t>Ireland</t>
  </si>
  <si>
    <t>Isuzu Ireland</t>
  </si>
  <si>
    <t>Germany</t>
  </si>
  <si>
    <t>ISD</t>
  </si>
  <si>
    <t>Hungary</t>
  </si>
  <si>
    <t>Autowallis</t>
  </si>
  <si>
    <t>Greece</t>
  </si>
  <si>
    <t>Petros</t>
  </si>
  <si>
    <t>Cyprus</t>
  </si>
  <si>
    <t>Loutsios</t>
  </si>
  <si>
    <t>Finland</t>
  </si>
  <si>
    <t>Nordic</t>
  </si>
  <si>
    <t>Romania</t>
  </si>
  <si>
    <t>Romauto</t>
  </si>
  <si>
    <t>Denmark</t>
  </si>
  <si>
    <t>Isuzu Denmark</t>
  </si>
  <si>
    <t>Malta</t>
  </si>
  <si>
    <t>Gasanzammit</t>
  </si>
  <si>
    <t>Iceland</t>
  </si>
  <si>
    <t>BL</t>
  </si>
  <si>
    <t>Poland</t>
  </si>
  <si>
    <t>Israel</t>
  </si>
  <si>
    <t>UTI / UMI</t>
  </si>
  <si>
    <t>MD</t>
  </si>
  <si>
    <t>GRAND TOTAL — All Markets (excl. Italy)</t>
  </si>
  <si>
    <t>REACHABLE TOTAL — Approach A Markets Only</t>
  </si>
  <si>
    <t>FOR REFERENCE — Not Willing (Israel)</t>
  </si>
  <si>
    <t>✅ Approach A = DB confirmed willing to engage   |   ❌ Not Willing = UTI / UMI (Israel) explicitly declined   |   ⚠️ No Data = no survey response or no commercial framework yet   |   Switching conditions shown in column K</t>
  </si>
  <si>
    <t>ISZE LUBRICANTS  |  Country-Level Summary</t>
  </si>
  <si>
    <t>Volumes in litres/year  |  2025E UIO basis  |  Italy excluded</t>
  </si>
  <si>
    <t>Total UIO
(2025E)</t>
  </si>
  <si>
    <t>Annual Vol.
(L/yr)</t>
  </si>
  <si>
    <t>Conservative
10% (L)</t>
  </si>
  <si>
    <t>Base
25% (L)</t>
  </si>
  <si>
    <t>Optimistic
50% (L)</t>
  </si>
  <si>
    <t>GRAND TOTAL (All Markets)</t>
  </si>
  <si>
    <t>REACHABLE TOTAL (Approach A Only)</t>
  </si>
  <si>
    <t>ISZE LUBRICANTS  |  Current Besco Sales Baseline (L12M to Nov 2025)</t>
  </si>
  <si>
    <t>Source: ISZE billing data (SAP). Note: current sales are predominantly gear/axle oil — NOT engine oil. This confirms near-zero baseline for the lubricants programme.</t>
  </si>
  <si>
    <t>Distributor / Payer</t>
  </si>
  <si>
    <t>Market</t>
  </si>
  <si>
    <t>L12M Revenue (€)</t>
  </si>
  <si>
    <t>Grand Avto LLC</t>
  </si>
  <si>
    <t>Armenia</t>
  </si>
  <si>
    <t>Besco Clean Super 200L drums</t>
  </si>
  <si>
    <t>IMOTORS</t>
  </si>
  <si>
    <t>Gear oil, axle oil, grease, LLC</t>
  </si>
  <si>
    <t>UNIVERSAL MOTORS ISRAEL LTD</t>
  </si>
  <si>
    <t>Israel (UTI)</t>
  </si>
  <si>
    <t>Gear/axle oil</t>
  </si>
  <si>
    <t>ISUZU TRUCK (UK) LIMITED</t>
  </si>
  <si>
    <t>UK (ITUK)</t>
  </si>
  <si>
    <t>Besco oil + LLC</t>
  </si>
  <si>
    <t>AW Distribution Kft.</t>
  </si>
  <si>
    <t>Gear oil, axle oil</t>
  </si>
  <si>
    <t>I.M. PARTS &amp; SERVICE Ltd</t>
  </si>
  <si>
    <t>Axle oil</t>
  </si>
  <si>
    <t>Nordic Automotive</t>
  </si>
  <si>
    <t>Petros Petropoulos</t>
  </si>
  <si>
    <t>Isuzu Sales DE / ISD</t>
  </si>
  <si>
    <t>Isuzu Benelux</t>
  </si>
  <si>
    <t>LLC</t>
  </si>
  <si>
    <t>TOTAL L12M BESCO REVENUE</t>
  </si>
  <si>
    <t>⚠️  IMPORTANT: Current BESCO sales are almost entirely gear oil, axle oil, and LLC — NOT engine oil. The lubricants programme targets engine oil, which is currently at near-zero capture. This baseline understates the true gap.</t>
  </si>
  <si>
    <t>SECTION B — KEY ASSUMPTIONS &amp; FLAGS</t>
  </si>
  <si>
    <t>Based on 2025E UIO  |   Demand = UIO × Oil/Service × 2 services/year  | 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</si>
</sst>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€#,##0"/>
  </numFmts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b/>
      <sz val="10"/>
      <color rgb="FF2D2D2D"/>
      <name val="Arial"/>
      <family val="2"/>
    </font>
    <font>
      <sz val="10"/>
      <color rgb="FF004A8F"/>
      <name val="Arial"/>
      <family val="2"/>
    </font>
    <font>
      <sz val="10"/>
      <color rgb="FF2D2D2D"/>
      <name val="Arial"/>
      <family val="2"/>
    </font>
    <font>
      <b/>
      <sz val="10"/>
      <color rgb="FFCC0E1E"/>
      <name val="Arial"/>
      <family val="2"/>
    </font>
    <font>
      <b/>
      <sz val="10"/>
      <color rgb="FF217346"/>
      <name val="Arial"/>
      <family val="2"/>
    </font>
    <font>
      <b/>
      <sz val="13"/>
      <color rgb="FFFFFFFF"/>
      <name val="Arial"/>
      <family val="2"/>
    </font>
    <font>
      <i/>
      <sz val="8"/>
      <color rgb="FF555555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i/>
      <sz val="9"/>
      <color rgb="FF7F3F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CC0E1E"/>
        <bgColor rgb="FFCC0000"/>
      </patternFill>
    </fill>
    <fill>
      <patternFill patternType="solid">
        <fgColor rgb="FFF2F2F2"/>
        <bgColor rgb="FFEBF3FB"/>
      </patternFill>
    </fill>
    <fill>
      <patternFill patternType="solid">
        <fgColor rgb="FF2D2D2D"/>
        <bgColor rgb="FF1A1A2E"/>
      </patternFill>
    </fill>
    <fill>
      <patternFill patternType="solid">
        <fgColor rgb="FF1A1A2E"/>
        <bgColor rgb="FF2D2D2D"/>
      </patternFill>
    </fill>
    <fill>
      <patternFill patternType="solid">
        <fgColor rgb="FFEBF3FB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FF5F5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FFF5F5"/>
        <bgColor rgb="FFF2F2F2"/>
      </patternFill>
    </fill>
    <fill>
      <patternFill patternType="solid">
        <fgColor rgb="FF888888"/>
        <bgColor rgb="FF96969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3" fontId="6" fillId="8" borderId="1" xfId="0" applyNumberFormat="1" applyFont="1" applyFill="1" applyBorder="1" applyAlignment="1">
      <alignment horizontal="right" vertical="center"/>
    </xf>
    <xf numFmtId="164" fontId="6" fillId="8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right" vertical="center"/>
    </xf>
    <xf numFmtId="0" fontId="4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3" fontId="6" fillId="11" borderId="1" xfId="0" applyNumberFormat="1" applyFont="1" applyFill="1" applyBorder="1" applyAlignment="1">
      <alignment horizontal="right" vertical="center"/>
    </xf>
    <xf numFmtId="164" fontId="6" fillId="11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3" fontId="4" fillId="11" borderId="1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3" fontId="6" fillId="9" borderId="1" xfId="0" applyNumberFormat="1" applyFont="1" applyFill="1" applyBorder="1" applyAlignment="1">
      <alignment horizontal="right" vertical="center"/>
    </xf>
    <xf numFmtId="164" fontId="6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3" fontId="4" fillId="9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3" fontId="6" fillId="7" borderId="1" xfId="0" applyNumberFormat="1" applyFont="1" applyFill="1" applyBorder="1" applyAlignment="1">
      <alignment horizontal="right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3" fontId="3" fillId="2" borderId="1" xfId="0" applyNumberFormat="1" applyFont="1" applyFill="1" applyBorder="1" applyAlignment="1">
      <alignment horizontal="right" vertical="center"/>
    </xf>
    <xf numFmtId="0" fontId="0" fillId="5" borderId="1" xfId="0" applyFill="1" applyBorder="1"/>
    <xf numFmtId="3" fontId="3" fillId="5" borderId="1" xfId="0" applyNumberFormat="1" applyFont="1" applyFill="1" applyBorder="1" applyAlignment="1">
      <alignment horizontal="right" vertical="center"/>
    </xf>
    <xf numFmtId="0" fontId="0" fillId="12" borderId="1" xfId="0" applyFill="1" applyBorder="1"/>
    <xf numFmtId="3" fontId="3" fillId="12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/>
    <xf numFmtId="165" fontId="6" fillId="8" borderId="1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left" vertical="center"/>
    </xf>
    <xf numFmtId="0" fontId="6" fillId="11" borderId="1" xfId="0" applyFont="1" applyFill="1" applyBorder="1"/>
    <xf numFmtId="165" fontId="6" fillId="11" borderId="1" xfId="0" applyNumberFormat="1" applyFont="1" applyFill="1" applyBorder="1" applyAlignment="1">
      <alignment horizontal="right" vertical="center"/>
    </xf>
    <xf numFmtId="0" fontId="2" fillId="11" borderId="1" xfId="0" applyFont="1" applyFill="1" applyBorder="1" applyAlignment="1">
      <alignment horizontal="left" vertical="center"/>
    </xf>
    <xf numFmtId="0" fontId="6" fillId="7" borderId="1" xfId="0" applyFont="1" applyFill="1" applyBorder="1"/>
    <xf numFmtId="165" fontId="6" fillId="7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left" vertical="center"/>
    </xf>
    <xf numFmtId="165" fontId="12" fillId="2" borderId="1" xfId="0" applyNumberFormat="1" applyFont="1" applyFill="1" applyBorder="1" applyAlignment="1">
      <alignment horizontal="right" vertical="center"/>
    </xf>
    <xf numFmtId="0" fontId="1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12" fillId="2" borderId="2" xfId="0" applyFont="1" applyFill="1" applyBorder="1" applyAlignment="1">
      <alignment horizontal="left" vertical="center"/>
    </xf>
    <xf numFmtId="0" fontId="13" fillId="9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1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CC0E1E"/>
      <rgbColor rgb="FF008000"/>
      <rgbColor rgb="FF000080"/>
      <rgbColor rgb="FF7F6000"/>
      <rgbColor rgb="FF800080"/>
      <rgbColor rgb="FF217346"/>
      <rgbColor rgb="FFCCCCCC"/>
      <rgbColor rgb="FF888888"/>
      <rgbColor rgb="FF9999FF"/>
      <rgbColor rgb="FF993366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5F5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4A8F"/>
      <rgbColor rgb="FF339966"/>
      <rgbColor rgb="FF003300"/>
      <rgbColor rgb="FF1A1A2E"/>
      <rgbColor rgb="FF7F3F00"/>
      <rgbColor rgb="FF993366"/>
      <rgbColor rgb="FF333399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showGridLines="0" zoomScaleNormal="100" workbookViewId="0">
      <selection activeCell="A16" sqref="A16:XFD16"/>
    </sheetView>
  </sheetViews>
  <sheetFormatPr defaultColWidth="8.6640625" defaultRowHeight="14.4" x14ac:dyDescent="0.3"/>
  <cols>
    <col min="1" max="1" width="32" customWidth="1"/>
    <col min="2" max="2" width="18" customWidth="1"/>
    <col min="3" max="3" width="28" customWidth="1"/>
    <col min="4" max="4" width="16" customWidth="1"/>
  </cols>
  <sheetData>
    <row r="1" spans="1:4" ht="39.75" customHeight="1" x14ac:dyDescent="0.3">
      <c r="A1" s="54" t="s">
        <v>0</v>
      </c>
      <c r="B1" s="54"/>
      <c r="C1" s="54"/>
      <c r="D1" s="54"/>
    </row>
    <row r="2" spans="1:4" ht="15" customHeight="1" x14ac:dyDescent="0.3">
      <c r="A2" s="55" t="s">
        <v>1</v>
      </c>
      <c r="B2" s="55"/>
      <c r="C2" s="55"/>
      <c r="D2" s="55"/>
    </row>
    <row r="4" spans="1:4" ht="19.5" customHeight="1" x14ac:dyDescent="0.3">
      <c r="A4" s="56" t="s">
        <v>2</v>
      </c>
      <c r="B4" s="56"/>
      <c r="C4" s="56"/>
      <c r="D4" s="56"/>
    </row>
    <row r="5" spans="1:4" ht="26.4" x14ac:dyDescent="0.3">
      <c r="A5" s="1" t="s">
        <v>3</v>
      </c>
      <c r="B5" s="1" t="s">
        <v>4</v>
      </c>
      <c r="C5" s="1" t="s">
        <v>5</v>
      </c>
      <c r="D5" s="1" t="s">
        <v>6</v>
      </c>
    </row>
    <row r="6" spans="1:4" x14ac:dyDescent="0.3">
      <c r="A6" s="2" t="s">
        <v>7</v>
      </c>
      <c r="B6" s="3">
        <v>6</v>
      </c>
      <c r="C6" s="4">
        <v>2</v>
      </c>
      <c r="D6" s="5">
        <f>B6*C6</f>
        <v>12</v>
      </c>
    </row>
    <row r="7" spans="1:4" x14ac:dyDescent="0.3">
      <c r="A7" s="2" t="s">
        <v>8</v>
      </c>
      <c r="B7" s="3">
        <v>10</v>
      </c>
      <c r="C7" s="4">
        <v>2</v>
      </c>
      <c r="D7" s="5">
        <f>B7*C7</f>
        <v>20</v>
      </c>
    </row>
    <row r="8" spans="1:4" x14ac:dyDescent="0.3">
      <c r="A8" s="2" t="s">
        <v>9</v>
      </c>
      <c r="B8" s="3">
        <v>12.5</v>
      </c>
      <c r="C8" s="4">
        <v>2</v>
      </c>
      <c r="D8" s="5">
        <f>B8*C8</f>
        <v>25</v>
      </c>
    </row>
    <row r="11" spans="1:4" ht="15" customHeight="1" x14ac:dyDescent="0.3">
      <c r="A11" s="56" t="s">
        <v>106</v>
      </c>
      <c r="B11" s="56"/>
      <c r="C11" s="56"/>
      <c r="D11" s="56"/>
    </row>
    <row r="12" spans="1:4" ht="15" customHeight="1" x14ac:dyDescent="0.3">
      <c r="A12" s="1" t="s">
        <v>10</v>
      </c>
      <c r="B12" s="1" t="s">
        <v>11</v>
      </c>
      <c r="C12" s="52" t="s">
        <v>12</v>
      </c>
      <c r="D12" s="52"/>
    </row>
    <row r="13" spans="1:4" x14ac:dyDescent="0.3">
      <c r="A13" s="2" t="s">
        <v>13</v>
      </c>
      <c r="B13" s="6" t="s">
        <v>14</v>
      </c>
      <c r="C13" s="53" t="s">
        <v>15</v>
      </c>
      <c r="D13" s="53"/>
    </row>
    <row r="14" spans="1:4" x14ac:dyDescent="0.3">
      <c r="A14" s="2" t="s">
        <v>16</v>
      </c>
      <c r="B14" s="6" t="s">
        <v>17</v>
      </c>
      <c r="C14" s="53" t="s">
        <v>18</v>
      </c>
      <c r="D14" s="53"/>
    </row>
    <row r="15" spans="1:4" x14ac:dyDescent="0.3">
      <c r="A15" s="2" t="s">
        <v>19</v>
      </c>
      <c r="B15" s="7" t="s">
        <v>20</v>
      </c>
      <c r="C15" s="53" t="s">
        <v>21</v>
      </c>
      <c r="D15" s="53"/>
    </row>
  </sheetData>
  <mergeCells count="8">
    <mergeCell ref="C12:D12"/>
    <mergeCell ref="C13:D13"/>
    <mergeCell ref="C14:D14"/>
    <mergeCell ref="C15:D15"/>
    <mergeCell ref="A1:D1"/>
    <mergeCell ref="A2:D2"/>
    <mergeCell ref="A4:D4"/>
    <mergeCell ref="A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showGridLines="0" tabSelected="1" zoomScaleNormal="100" workbookViewId="0">
      <selection activeCell="D8" sqref="D8"/>
    </sheetView>
  </sheetViews>
  <sheetFormatPr defaultColWidth="8.6640625" defaultRowHeight="14.4" x14ac:dyDescent="0.3"/>
  <cols>
    <col min="1" max="1" width="15.109375" bestFit="1" customWidth="1"/>
    <col min="2" max="2" width="13.33203125" bestFit="1" customWidth="1"/>
    <col min="3" max="3" width="12.6640625" bestFit="1" customWidth="1"/>
    <col min="4" max="4" width="11.33203125" bestFit="1" customWidth="1"/>
    <col min="5" max="5" width="10.33203125" bestFit="1" customWidth="1"/>
    <col min="6" max="6" width="10.88671875" bestFit="1" customWidth="1"/>
    <col min="7" max="7" width="14" bestFit="1" customWidth="1"/>
    <col min="8" max="8" width="12.44140625" bestFit="1" customWidth="1"/>
    <col min="9" max="9" width="7.5546875" bestFit="1" customWidth="1"/>
    <col min="10" max="10" width="9.77734375" bestFit="1" customWidth="1"/>
  </cols>
  <sheetData>
    <row r="1" spans="1:10" ht="36" customHeight="1" x14ac:dyDescent="0.3">
      <c r="A1" s="58" t="s">
        <v>22</v>
      </c>
      <c r="B1" s="58"/>
      <c r="C1" s="58"/>
      <c r="D1" s="58"/>
      <c r="E1" s="58"/>
      <c r="F1" s="58"/>
      <c r="G1" s="58"/>
      <c r="H1" s="58"/>
      <c r="I1" s="58"/>
      <c r="J1" s="58"/>
    </row>
    <row r="2" spans="1:10" ht="15" customHeight="1" x14ac:dyDescent="0.3">
      <c r="A2" s="55" t="s">
        <v>107</v>
      </c>
      <c r="B2" s="55"/>
      <c r="C2" s="55"/>
      <c r="D2" s="55"/>
      <c r="E2" s="55"/>
      <c r="F2" s="55"/>
      <c r="G2" s="55"/>
      <c r="H2" s="55"/>
      <c r="I2" s="55"/>
      <c r="J2" s="55"/>
    </row>
    <row r="4" spans="1:10" ht="31.5" customHeight="1" x14ac:dyDescent="0.3">
      <c r="A4" s="1" t="s">
        <v>23</v>
      </c>
      <c r="B4" s="1" t="s">
        <v>24</v>
      </c>
      <c r="C4" s="1" t="s">
        <v>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</row>
    <row r="5" spans="1:10" ht="18" customHeight="1" x14ac:dyDescent="0.3">
      <c r="A5" s="8" t="s">
        <v>32</v>
      </c>
      <c r="B5" s="9" t="s">
        <v>33</v>
      </c>
      <c r="C5" s="9" t="s">
        <v>7</v>
      </c>
      <c r="D5" s="10">
        <v>47783</v>
      </c>
      <c r="E5" s="11">
        <v>6</v>
      </c>
      <c r="F5" s="12">
        <v>2</v>
      </c>
      <c r="G5" s="13">
        <v>573396</v>
      </c>
      <c r="H5" s="10">
        <f t="shared" ref="H5:H35" si="0">G5*0.1</f>
        <v>57339.600000000006</v>
      </c>
      <c r="I5" s="10">
        <f t="shared" ref="I5:I35" si="1">G5*0.25</f>
        <v>143349</v>
      </c>
      <c r="J5" s="10">
        <f t="shared" ref="J5:J35" si="2">G5*0.5</f>
        <v>286698</v>
      </c>
    </row>
    <row r="6" spans="1:10" ht="18" customHeight="1" x14ac:dyDescent="0.3">
      <c r="A6" s="14" t="s">
        <v>32</v>
      </c>
      <c r="B6" s="15" t="s">
        <v>33</v>
      </c>
      <c r="C6" s="15" t="s">
        <v>8</v>
      </c>
      <c r="D6" s="16">
        <v>21584</v>
      </c>
      <c r="E6" s="17">
        <v>10</v>
      </c>
      <c r="F6" s="18">
        <v>2</v>
      </c>
      <c r="G6" s="19">
        <v>405780</v>
      </c>
      <c r="H6" s="16">
        <f t="shared" si="0"/>
        <v>40578</v>
      </c>
      <c r="I6" s="16">
        <f t="shared" si="1"/>
        <v>101445</v>
      </c>
      <c r="J6" s="16">
        <f t="shared" si="2"/>
        <v>202890</v>
      </c>
    </row>
    <row r="7" spans="1:10" ht="18" customHeight="1" x14ac:dyDescent="0.3">
      <c r="A7" s="14" t="s">
        <v>32</v>
      </c>
      <c r="B7" s="15" t="s">
        <v>33</v>
      </c>
      <c r="C7" s="15" t="s">
        <v>9</v>
      </c>
      <c r="D7" s="16">
        <v>805</v>
      </c>
      <c r="E7" s="17">
        <v>12.5</v>
      </c>
      <c r="F7" s="18">
        <v>2</v>
      </c>
      <c r="G7" s="19">
        <v>21625</v>
      </c>
      <c r="H7" s="16">
        <f t="shared" si="0"/>
        <v>2162.5</v>
      </c>
      <c r="I7" s="16">
        <f t="shared" si="1"/>
        <v>5406.25</v>
      </c>
      <c r="J7" s="16">
        <f t="shared" si="2"/>
        <v>10812.5</v>
      </c>
    </row>
    <row r="8" spans="1:10" ht="18" customHeight="1" x14ac:dyDescent="0.3">
      <c r="A8" s="14" t="s">
        <v>36</v>
      </c>
      <c r="B8" s="15" t="s">
        <v>37</v>
      </c>
      <c r="C8" s="15" t="s">
        <v>7</v>
      </c>
      <c r="D8" s="16">
        <v>8443</v>
      </c>
      <c r="E8" s="17">
        <v>6</v>
      </c>
      <c r="F8" s="18">
        <v>2</v>
      </c>
      <c r="G8" s="19">
        <v>101316</v>
      </c>
      <c r="H8" s="16">
        <f t="shared" si="0"/>
        <v>10131.6</v>
      </c>
      <c r="I8" s="16">
        <f t="shared" si="1"/>
        <v>25329</v>
      </c>
      <c r="J8" s="16">
        <f t="shared" si="2"/>
        <v>50658</v>
      </c>
    </row>
    <row r="9" spans="1:10" ht="18" customHeight="1" x14ac:dyDescent="0.3">
      <c r="A9" s="20" t="s">
        <v>54</v>
      </c>
      <c r="B9" s="21" t="s">
        <v>55</v>
      </c>
      <c r="C9" s="21" t="s">
        <v>7</v>
      </c>
      <c r="D9" s="22">
        <v>1071</v>
      </c>
      <c r="E9" s="23">
        <v>6</v>
      </c>
      <c r="F9" s="24">
        <v>2</v>
      </c>
      <c r="G9" s="25">
        <v>12852</v>
      </c>
      <c r="H9" s="22">
        <f t="shared" si="0"/>
        <v>1285.2</v>
      </c>
      <c r="I9" s="22">
        <f t="shared" si="1"/>
        <v>3213</v>
      </c>
      <c r="J9" s="22">
        <f t="shared" si="2"/>
        <v>6426</v>
      </c>
    </row>
    <row r="10" spans="1:10" ht="18" customHeight="1" x14ac:dyDescent="0.3">
      <c r="A10" s="14" t="s">
        <v>40</v>
      </c>
      <c r="B10" s="15" t="s">
        <v>41</v>
      </c>
      <c r="C10" s="15" t="s">
        <v>7</v>
      </c>
      <c r="D10" s="16">
        <v>5299</v>
      </c>
      <c r="E10" s="17">
        <v>6</v>
      </c>
      <c r="F10" s="18">
        <v>2</v>
      </c>
      <c r="G10" s="19">
        <v>63588</v>
      </c>
      <c r="H10" s="16">
        <f t="shared" si="0"/>
        <v>6358.8</v>
      </c>
      <c r="I10" s="16">
        <f t="shared" si="1"/>
        <v>15897</v>
      </c>
      <c r="J10" s="16">
        <f t="shared" si="2"/>
        <v>31794</v>
      </c>
    </row>
    <row r="11" spans="1:10" ht="18" customHeight="1" x14ac:dyDescent="0.3">
      <c r="A11" s="8" t="s">
        <v>40</v>
      </c>
      <c r="B11" s="9" t="s">
        <v>41</v>
      </c>
      <c r="C11" s="9" t="s">
        <v>8</v>
      </c>
      <c r="D11" s="10">
        <v>2585</v>
      </c>
      <c r="E11" s="11">
        <v>10</v>
      </c>
      <c r="F11" s="12">
        <v>2</v>
      </c>
      <c r="G11" s="13">
        <v>51700</v>
      </c>
      <c r="H11" s="10">
        <f t="shared" si="0"/>
        <v>5170</v>
      </c>
      <c r="I11" s="10">
        <f t="shared" si="1"/>
        <v>12925</v>
      </c>
      <c r="J11" s="10">
        <f t="shared" si="2"/>
        <v>25850</v>
      </c>
    </row>
    <row r="12" spans="1:10" ht="18" customHeight="1" x14ac:dyDescent="0.3">
      <c r="A12" s="8" t="s">
        <v>40</v>
      </c>
      <c r="B12" s="9" t="s">
        <v>41</v>
      </c>
      <c r="C12" s="9" t="s">
        <v>9</v>
      </c>
      <c r="D12" s="10">
        <v>292</v>
      </c>
      <c r="E12" s="11">
        <v>12.5</v>
      </c>
      <c r="F12" s="12">
        <v>2</v>
      </c>
      <c r="G12" s="13">
        <v>7300</v>
      </c>
      <c r="H12" s="10">
        <f t="shared" si="0"/>
        <v>730</v>
      </c>
      <c r="I12" s="10">
        <f t="shared" si="1"/>
        <v>1825</v>
      </c>
      <c r="J12" s="10">
        <f t="shared" si="2"/>
        <v>3650</v>
      </c>
    </row>
    <row r="13" spans="1:10" ht="18" customHeight="1" x14ac:dyDescent="0.3">
      <c r="A13" s="20" t="s">
        <v>62</v>
      </c>
      <c r="B13" s="21" t="s">
        <v>35</v>
      </c>
      <c r="C13" s="21" t="s">
        <v>7</v>
      </c>
      <c r="D13" s="22">
        <v>28</v>
      </c>
      <c r="E13" s="23">
        <v>6</v>
      </c>
      <c r="F13" s="24">
        <v>2</v>
      </c>
      <c r="G13" s="25">
        <v>336</v>
      </c>
      <c r="H13" s="22">
        <f t="shared" si="0"/>
        <v>33.6</v>
      </c>
      <c r="I13" s="22">
        <f t="shared" si="1"/>
        <v>84</v>
      </c>
      <c r="J13" s="22">
        <f t="shared" si="2"/>
        <v>168</v>
      </c>
    </row>
    <row r="14" spans="1:10" ht="18" customHeight="1" x14ac:dyDescent="0.3">
      <c r="A14" s="8" t="s">
        <v>38</v>
      </c>
      <c r="B14" s="9" t="s">
        <v>39</v>
      </c>
      <c r="C14" s="9" t="s">
        <v>7</v>
      </c>
      <c r="D14" s="10">
        <v>7929</v>
      </c>
      <c r="E14" s="11">
        <v>6</v>
      </c>
      <c r="F14" s="12">
        <v>2</v>
      </c>
      <c r="G14" s="13">
        <v>95148</v>
      </c>
      <c r="H14" s="10">
        <f t="shared" si="0"/>
        <v>9514.8000000000011</v>
      </c>
      <c r="I14" s="10">
        <f t="shared" si="1"/>
        <v>23787</v>
      </c>
      <c r="J14" s="10">
        <f t="shared" si="2"/>
        <v>47574</v>
      </c>
    </row>
    <row r="15" spans="1:10" ht="18" customHeight="1" x14ac:dyDescent="0.3">
      <c r="A15" s="20" t="s">
        <v>58</v>
      </c>
      <c r="B15" s="21" t="s">
        <v>59</v>
      </c>
      <c r="C15" s="21" t="s">
        <v>7</v>
      </c>
      <c r="D15" s="22">
        <v>797</v>
      </c>
      <c r="E15" s="23">
        <v>6</v>
      </c>
      <c r="F15" s="24">
        <v>2</v>
      </c>
      <c r="G15" s="25">
        <v>9564</v>
      </c>
      <c r="H15" s="22">
        <f t="shared" si="0"/>
        <v>956.40000000000009</v>
      </c>
      <c r="I15" s="22">
        <f t="shared" si="1"/>
        <v>2391</v>
      </c>
      <c r="J15" s="22">
        <f t="shared" si="2"/>
        <v>4782</v>
      </c>
    </row>
    <row r="16" spans="1:10" ht="18" customHeight="1" x14ac:dyDescent="0.3">
      <c r="A16" s="20" t="s">
        <v>58</v>
      </c>
      <c r="B16" s="21" t="s">
        <v>59</v>
      </c>
      <c r="C16" s="21" t="s">
        <v>8</v>
      </c>
      <c r="D16" s="22">
        <v>243</v>
      </c>
      <c r="E16" s="23">
        <v>10</v>
      </c>
      <c r="F16" s="24">
        <v>2</v>
      </c>
      <c r="G16" s="25">
        <v>4860</v>
      </c>
      <c r="H16" s="22">
        <f t="shared" si="0"/>
        <v>486</v>
      </c>
      <c r="I16" s="22">
        <f t="shared" si="1"/>
        <v>1215</v>
      </c>
      <c r="J16" s="22">
        <f t="shared" si="2"/>
        <v>2430</v>
      </c>
    </row>
    <row r="17" spans="1:10" ht="18" customHeight="1" x14ac:dyDescent="0.3">
      <c r="A17" s="26" t="s">
        <v>63</v>
      </c>
      <c r="B17" s="27" t="s">
        <v>64</v>
      </c>
      <c r="C17" s="27" t="s">
        <v>7</v>
      </c>
      <c r="D17" s="28">
        <v>18542</v>
      </c>
      <c r="E17" s="29">
        <v>6</v>
      </c>
      <c r="F17" s="30">
        <v>2</v>
      </c>
      <c r="G17" s="31">
        <v>222504</v>
      </c>
      <c r="H17" s="28">
        <f t="shared" si="0"/>
        <v>22250.400000000001</v>
      </c>
      <c r="I17" s="28">
        <f t="shared" si="1"/>
        <v>55626</v>
      </c>
      <c r="J17" s="28">
        <f t="shared" si="2"/>
        <v>111252</v>
      </c>
    </row>
    <row r="18" spans="1:10" ht="18" customHeight="1" x14ac:dyDescent="0.3">
      <c r="A18" s="26" t="s">
        <v>63</v>
      </c>
      <c r="B18" s="27" t="s">
        <v>64</v>
      </c>
      <c r="C18" s="27" t="s">
        <v>8</v>
      </c>
      <c r="D18" s="28">
        <v>6444</v>
      </c>
      <c r="E18" s="29">
        <v>10</v>
      </c>
      <c r="F18" s="30">
        <v>2</v>
      </c>
      <c r="G18" s="31">
        <v>128880</v>
      </c>
      <c r="H18" s="28">
        <f t="shared" si="0"/>
        <v>12888</v>
      </c>
      <c r="I18" s="28">
        <f t="shared" si="1"/>
        <v>32220</v>
      </c>
      <c r="J18" s="28">
        <f t="shared" si="2"/>
        <v>64440</v>
      </c>
    </row>
    <row r="19" spans="1:10" ht="18" customHeight="1" x14ac:dyDescent="0.3">
      <c r="A19" s="26" t="s">
        <v>63</v>
      </c>
      <c r="B19" s="27" t="s">
        <v>64</v>
      </c>
      <c r="C19" s="27" t="s">
        <v>65</v>
      </c>
      <c r="D19" s="28">
        <v>4809</v>
      </c>
      <c r="E19" s="29">
        <v>12.5</v>
      </c>
      <c r="F19" s="30">
        <v>2</v>
      </c>
      <c r="G19" s="31">
        <v>120225</v>
      </c>
      <c r="H19" s="28">
        <f t="shared" si="0"/>
        <v>12022.5</v>
      </c>
      <c r="I19" s="28">
        <f t="shared" si="1"/>
        <v>30056.25</v>
      </c>
      <c r="J19" s="28">
        <f t="shared" si="2"/>
        <v>60112.5</v>
      </c>
    </row>
    <row r="20" spans="1:10" ht="18" customHeight="1" x14ac:dyDescent="0.3">
      <c r="A20" s="14" t="s">
        <v>42</v>
      </c>
      <c r="B20" s="15" t="s">
        <v>43</v>
      </c>
      <c r="C20" s="15" t="s">
        <v>8</v>
      </c>
      <c r="D20" s="16">
        <v>1151</v>
      </c>
      <c r="E20" s="17">
        <v>10</v>
      </c>
      <c r="F20" s="18">
        <v>2</v>
      </c>
      <c r="G20" s="19">
        <v>23020</v>
      </c>
      <c r="H20" s="16">
        <f t="shared" si="0"/>
        <v>2302</v>
      </c>
      <c r="I20" s="16">
        <f t="shared" si="1"/>
        <v>5755</v>
      </c>
      <c r="J20" s="16">
        <f t="shared" si="2"/>
        <v>11510</v>
      </c>
    </row>
    <row r="21" spans="1:10" ht="18" customHeight="1" x14ac:dyDescent="0.3">
      <c r="A21" s="8" t="s">
        <v>42</v>
      </c>
      <c r="B21" s="9" t="s">
        <v>43</v>
      </c>
      <c r="C21" s="9" t="s">
        <v>7</v>
      </c>
      <c r="D21" s="10">
        <v>1804</v>
      </c>
      <c r="E21" s="11">
        <v>6</v>
      </c>
      <c r="F21" s="12">
        <v>2</v>
      </c>
      <c r="G21" s="13">
        <v>21648</v>
      </c>
      <c r="H21" s="10">
        <f t="shared" si="0"/>
        <v>2164.8000000000002</v>
      </c>
      <c r="I21" s="10">
        <f t="shared" si="1"/>
        <v>5412</v>
      </c>
      <c r="J21" s="10">
        <f t="shared" si="2"/>
        <v>10824</v>
      </c>
    </row>
    <row r="22" spans="1:10" ht="18" customHeight="1" x14ac:dyDescent="0.3">
      <c r="A22" s="14" t="s">
        <v>42</v>
      </c>
      <c r="B22" s="15" t="s">
        <v>43</v>
      </c>
      <c r="C22" s="15" t="s">
        <v>9</v>
      </c>
      <c r="D22" s="16">
        <v>101</v>
      </c>
      <c r="E22" s="17">
        <v>12.5</v>
      </c>
      <c r="F22" s="18">
        <v>2</v>
      </c>
      <c r="G22" s="19">
        <v>2525</v>
      </c>
      <c r="H22" s="16">
        <f t="shared" si="0"/>
        <v>252.5</v>
      </c>
      <c r="I22" s="16">
        <f t="shared" si="1"/>
        <v>631.25</v>
      </c>
      <c r="J22" s="16">
        <f t="shared" si="2"/>
        <v>1262.5</v>
      </c>
    </row>
    <row r="23" spans="1:10" ht="18" customHeight="1" x14ac:dyDescent="0.3">
      <c r="A23" s="20" t="s">
        <v>60</v>
      </c>
      <c r="B23" s="21" t="s">
        <v>61</v>
      </c>
      <c r="C23" s="21" t="s">
        <v>7</v>
      </c>
      <c r="D23" s="22">
        <v>406</v>
      </c>
      <c r="E23" s="23">
        <v>6</v>
      </c>
      <c r="F23" s="24">
        <v>2</v>
      </c>
      <c r="G23" s="25">
        <v>4872</v>
      </c>
      <c r="H23" s="22">
        <f t="shared" si="0"/>
        <v>487.20000000000005</v>
      </c>
      <c r="I23" s="22">
        <f t="shared" si="1"/>
        <v>1218</v>
      </c>
      <c r="J23" s="22">
        <f t="shared" si="2"/>
        <v>2436</v>
      </c>
    </row>
    <row r="24" spans="1:10" ht="18" customHeight="1" x14ac:dyDescent="0.3">
      <c r="A24" s="20" t="s">
        <v>46</v>
      </c>
      <c r="B24" s="21" t="s">
        <v>47</v>
      </c>
      <c r="C24" s="21" t="s">
        <v>7</v>
      </c>
      <c r="D24" s="22">
        <v>3734</v>
      </c>
      <c r="E24" s="23">
        <v>6</v>
      </c>
      <c r="F24" s="24">
        <v>2</v>
      </c>
      <c r="G24" s="25">
        <v>44808</v>
      </c>
      <c r="H24" s="22">
        <f t="shared" si="0"/>
        <v>4480.8</v>
      </c>
      <c r="I24" s="22">
        <f t="shared" si="1"/>
        <v>11202</v>
      </c>
      <c r="J24" s="22">
        <f t="shared" si="2"/>
        <v>22404</v>
      </c>
    </row>
    <row r="25" spans="1:10" ht="18" customHeight="1" x14ac:dyDescent="0.3">
      <c r="A25" s="20" t="s">
        <v>48</v>
      </c>
      <c r="B25" s="21" t="s">
        <v>49</v>
      </c>
      <c r="C25" s="21" t="s">
        <v>7</v>
      </c>
      <c r="D25" s="22">
        <v>3705</v>
      </c>
      <c r="E25" s="23">
        <v>6</v>
      </c>
      <c r="F25" s="24">
        <v>2</v>
      </c>
      <c r="G25" s="25">
        <v>44460</v>
      </c>
      <c r="H25" s="22">
        <f t="shared" si="0"/>
        <v>4446</v>
      </c>
      <c r="I25" s="22">
        <f t="shared" si="1"/>
        <v>11115</v>
      </c>
      <c r="J25" s="22">
        <f t="shared" si="2"/>
        <v>22230</v>
      </c>
    </row>
    <row r="26" spans="1:10" ht="18" customHeight="1" x14ac:dyDescent="0.3">
      <c r="A26" s="20" t="s">
        <v>48</v>
      </c>
      <c r="B26" s="21" t="s">
        <v>49</v>
      </c>
      <c r="C26" s="21" t="s">
        <v>8</v>
      </c>
      <c r="D26" s="22">
        <v>37</v>
      </c>
      <c r="E26" s="23">
        <v>10</v>
      </c>
      <c r="F26" s="24">
        <v>2</v>
      </c>
      <c r="G26" s="25">
        <v>740</v>
      </c>
      <c r="H26" s="22">
        <f t="shared" si="0"/>
        <v>74</v>
      </c>
      <c r="I26" s="22">
        <f t="shared" si="1"/>
        <v>185</v>
      </c>
      <c r="J26" s="22">
        <f t="shared" si="2"/>
        <v>370</v>
      </c>
    </row>
    <row r="27" spans="1:10" ht="18" customHeight="1" x14ac:dyDescent="0.3">
      <c r="A27" s="20" t="s">
        <v>44</v>
      </c>
      <c r="B27" s="21" t="s">
        <v>45</v>
      </c>
      <c r="C27" s="21" t="s">
        <v>7</v>
      </c>
      <c r="D27" s="22">
        <v>12449</v>
      </c>
      <c r="E27" s="23">
        <v>6</v>
      </c>
      <c r="F27" s="24">
        <v>2</v>
      </c>
      <c r="G27" s="25">
        <v>149388</v>
      </c>
      <c r="H27" s="22">
        <f t="shared" si="0"/>
        <v>14938.800000000001</v>
      </c>
      <c r="I27" s="22">
        <f t="shared" si="1"/>
        <v>37347</v>
      </c>
      <c r="J27" s="22">
        <f t="shared" si="2"/>
        <v>74694</v>
      </c>
    </row>
    <row r="28" spans="1:10" ht="18" customHeight="1" x14ac:dyDescent="0.3">
      <c r="A28" s="20" t="s">
        <v>44</v>
      </c>
      <c r="B28" s="21" t="s">
        <v>45</v>
      </c>
      <c r="C28" s="21" t="s">
        <v>8</v>
      </c>
      <c r="D28" s="22">
        <v>406</v>
      </c>
      <c r="E28" s="23">
        <v>10</v>
      </c>
      <c r="F28" s="24">
        <v>2</v>
      </c>
      <c r="G28" s="25">
        <v>8120</v>
      </c>
      <c r="H28" s="22">
        <f t="shared" si="0"/>
        <v>812</v>
      </c>
      <c r="I28" s="22">
        <f t="shared" si="1"/>
        <v>2030</v>
      </c>
      <c r="J28" s="22">
        <f t="shared" si="2"/>
        <v>4060</v>
      </c>
    </row>
    <row r="29" spans="1:10" ht="18" customHeight="1" x14ac:dyDescent="0.3">
      <c r="A29" s="20" t="s">
        <v>52</v>
      </c>
      <c r="B29" s="21" t="s">
        <v>53</v>
      </c>
      <c r="C29" s="21" t="s">
        <v>7</v>
      </c>
      <c r="D29" s="22">
        <v>1204</v>
      </c>
      <c r="E29" s="23">
        <v>6</v>
      </c>
      <c r="F29" s="24">
        <v>2</v>
      </c>
      <c r="G29" s="25">
        <v>14448</v>
      </c>
      <c r="H29" s="22">
        <f t="shared" si="0"/>
        <v>1444.8000000000002</v>
      </c>
      <c r="I29" s="22">
        <f t="shared" si="1"/>
        <v>3612</v>
      </c>
      <c r="J29" s="22">
        <f t="shared" si="2"/>
        <v>7224</v>
      </c>
    </row>
    <row r="30" spans="1:10" ht="18" customHeight="1" x14ac:dyDescent="0.3">
      <c r="A30" s="20" t="s">
        <v>56</v>
      </c>
      <c r="B30" s="21" t="s">
        <v>57</v>
      </c>
      <c r="C30" s="21" t="s">
        <v>7</v>
      </c>
      <c r="D30" s="22">
        <v>850</v>
      </c>
      <c r="E30" s="23">
        <v>6</v>
      </c>
      <c r="F30" s="24">
        <v>2</v>
      </c>
      <c r="G30" s="25">
        <v>10200</v>
      </c>
      <c r="H30" s="22">
        <f t="shared" si="0"/>
        <v>1020</v>
      </c>
      <c r="I30" s="22">
        <f t="shared" si="1"/>
        <v>2550</v>
      </c>
      <c r="J30" s="22">
        <f t="shared" si="2"/>
        <v>5100</v>
      </c>
    </row>
    <row r="31" spans="1:10" ht="18" customHeight="1" x14ac:dyDescent="0.3">
      <c r="A31" s="20" t="s">
        <v>56</v>
      </c>
      <c r="B31" s="21" t="s">
        <v>57</v>
      </c>
      <c r="C31" s="21" t="s">
        <v>8</v>
      </c>
      <c r="D31" s="22">
        <v>1</v>
      </c>
      <c r="E31" s="23">
        <v>10</v>
      </c>
      <c r="F31" s="24">
        <v>2</v>
      </c>
      <c r="G31" s="25">
        <v>20</v>
      </c>
      <c r="H31" s="22">
        <f t="shared" si="0"/>
        <v>2</v>
      </c>
      <c r="I31" s="22">
        <f t="shared" si="1"/>
        <v>5</v>
      </c>
      <c r="J31" s="22">
        <f t="shared" si="2"/>
        <v>10</v>
      </c>
    </row>
    <row r="32" spans="1:10" ht="18" customHeight="1" x14ac:dyDescent="0.3">
      <c r="A32" s="20" t="s">
        <v>50</v>
      </c>
      <c r="B32" s="21" t="s">
        <v>51</v>
      </c>
      <c r="C32" s="21" t="s">
        <v>7</v>
      </c>
      <c r="D32" s="22">
        <v>2105</v>
      </c>
      <c r="E32" s="23">
        <v>6</v>
      </c>
      <c r="F32" s="24">
        <v>2</v>
      </c>
      <c r="G32" s="25">
        <v>25260</v>
      </c>
      <c r="H32" s="22">
        <f t="shared" si="0"/>
        <v>2526</v>
      </c>
      <c r="I32" s="22">
        <f t="shared" si="1"/>
        <v>6315</v>
      </c>
      <c r="J32" s="22">
        <f t="shared" si="2"/>
        <v>12630</v>
      </c>
    </row>
    <row r="33" spans="1:10" ht="18" customHeight="1" x14ac:dyDescent="0.3">
      <c r="A33" s="20" t="s">
        <v>50</v>
      </c>
      <c r="B33" s="21" t="s">
        <v>51</v>
      </c>
      <c r="C33" s="21" t="s">
        <v>8</v>
      </c>
      <c r="D33" s="22">
        <v>203</v>
      </c>
      <c r="E33" s="23">
        <v>10</v>
      </c>
      <c r="F33" s="24">
        <v>2</v>
      </c>
      <c r="G33" s="25">
        <v>4060</v>
      </c>
      <c r="H33" s="22">
        <f t="shared" si="0"/>
        <v>406</v>
      </c>
      <c r="I33" s="22">
        <f t="shared" si="1"/>
        <v>1015</v>
      </c>
      <c r="J33" s="22">
        <f t="shared" si="2"/>
        <v>2030</v>
      </c>
    </row>
    <row r="34" spans="1:10" ht="18" customHeight="1" x14ac:dyDescent="0.3">
      <c r="A34" s="8" t="s">
        <v>34</v>
      </c>
      <c r="B34" s="9" t="s">
        <v>35</v>
      </c>
      <c r="C34" s="9" t="s">
        <v>7</v>
      </c>
      <c r="D34" s="10">
        <v>9452</v>
      </c>
      <c r="E34" s="11">
        <v>6</v>
      </c>
      <c r="F34" s="12">
        <v>2</v>
      </c>
      <c r="G34" s="13">
        <v>113424</v>
      </c>
      <c r="H34" s="10">
        <f t="shared" si="0"/>
        <v>11342.400000000001</v>
      </c>
      <c r="I34" s="10">
        <f t="shared" si="1"/>
        <v>28356</v>
      </c>
      <c r="J34" s="10">
        <f t="shared" si="2"/>
        <v>56712</v>
      </c>
    </row>
    <row r="35" spans="1:10" ht="18" customHeight="1" x14ac:dyDescent="0.3">
      <c r="A35" s="8" t="s">
        <v>34</v>
      </c>
      <c r="B35" s="9" t="s">
        <v>35</v>
      </c>
      <c r="C35" s="9" t="s">
        <v>8</v>
      </c>
      <c r="D35" s="10">
        <v>113</v>
      </c>
      <c r="E35" s="11">
        <v>10</v>
      </c>
      <c r="F35" s="12">
        <v>2</v>
      </c>
      <c r="G35" s="13">
        <v>2260</v>
      </c>
      <c r="H35" s="10">
        <f t="shared" si="0"/>
        <v>226</v>
      </c>
      <c r="I35" s="10">
        <f t="shared" si="1"/>
        <v>565</v>
      </c>
      <c r="J35" s="10">
        <f t="shared" si="2"/>
        <v>1130</v>
      </c>
    </row>
    <row r="37" spans="1:10" ht="19.5" customHeight="1" x14ac:dyDescent="0.3">
      <c r="A37" s="59" t="s">
        <v>66</v>
      </c>
      <c r="B37" s="59"/>
      <c r="C37" s="59"/>
      <c r="D37" s="32"/>
      <c r="E37" s="32"/>
      <c r="F37" s="32"/>
      <c r="G37" s="33">
        <f>SUM(G5:G35)</f>
        <v>2288327</v>
      </c>
      <c r="H37" s="33">
        <f>G37*0.1</f>
        <v>228832.7</v>
      </c>
      <c r="I37" s="33">
        <f>G37*0.25</f>
        <v>572081.75</v>
      </c>
      <c r="J37" s="33">
        <f>G37*0.5</f>
        <v>1144163.5</v>
      </c>
    </row>
    <row r="38" spans="1:10" ht="19.5" customHeight="1" x14ac:dyDescent="0.3">
      <c r="A38" s="60" t="s">
        <v>67</v>
      </c>
      <c r="B38" s="60"/>
      <c r="C38" s="60"/>
      <c r="D38" s="34"/>
      <c r="E38" s="34"/>
      <c r="F38" s="34"/>
      <c r="G38" s="35">
        <f>SUM(G5,G6,G8,G9,G10,G11,G12,G13,G14,G7,G15,G16,G17)</f>
        <v>1569969</v>
      </c>
      <c r="H38" s="35">
        <f>G38*0.1</f>
        <v>156996.9</v>
      </c>
      <c r="I38" s="35">
        <f>G38*0.25</f>
        <v>392492.25</v>
      </c>
      <c r="J38" s="35">
        <f>G38*0.5</f>
        <v>784984.5</v>
      </c>
    </row>
    <row r="39" spans="1:10" ht="19.5" customHeight="1" x14ac:dyDescent="0.3">
      <c r="A39" s="61" t="s">
        <v>68</v>
      </c>
      <c r="B39" s="61"/>
      <c r="C39" s="61"/>
      <c r="D39" s="36"/>
      <c r="E39" s="36"/>
      <c r="F39" s="36"/>
      <c r="G39" s="37">
        <f>SUM(G33,G34,G35)</f>
        <v>119744</v>
      </c>
      <c r="H39" s="37">
        <f>G39*0.1</f>
        <v>11974.400000000001</v>
      </c>
      <c r="I39" s="37">
        <f>G39*0.25</f>
        <v>29936</v>
      </c>
      <c r="J39" s="37">
        <f>G39*0.5</f>
        <v>59872</v>
      </c>
    </row>
    <row r="41" spans="1:10" ht="18" customHeight="1" x14ac:dyDescent="0.3">
      <c r="A41" s="57" t="s">
        <v>69</v>
      </c>
      <c r="B41" s="57"/>
      <c r="C41" s="57"/>
      <c r="D41" s="57"/>
      <c r="E41" s="57"/>
      <c r="F41" s="57"/>
      <c r="G41" s="57"/>
      <c r="H41" s="57"/>
      <c r="I41" s="57"/>
      <c r="J41" s="57"/>
    </row>
  </sheetData>
  <autoFilter ref="A4:J4" xr:uid="{00000000-0001-0000-0100-000000000000}">
    <sortState xmlns:xlrd2="http://schemas.microsoft.com/office/spreadsheetml/2017/richdata2" ref="A5:J35">
      <sortCondition descending="1" ref="A4"/>
    </sortState>
  </autoFilter>
  <mergeCells count="6">
    <mergeCell ref="A41:J41"/>
    <mergeCell ref="A1:J1"/>
    <mergeCell ref="A2:J2"/>
    <mergeCell ref="A37:C37"/>
    <mergeCell ref="A38:C38"/>
    <mergeCell ref="A39:C3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showGridLines="0" topLeftCell="A8" zoomScaleNormal="100" workbookViewId="0">
      <selection activeCell="C21" sqref="C21"/>
    </sheetView>
  </sheetViews>
  <sheetFormatPr defaultColWidth="8.6640625" defaultRowHeight="14.4" x14ac:dyDescent="0.3"/>
  <cols>
    <col min="1" max="2" width="20" customWidth="1"/>
    <col min="3" max="7" width="14" customWidth="1"/>
  </cols>
  <sheetData>
    <row r="1" spans="1:7" ht="36" customHeight="1" x14ac:dyDescent="0.3">
      <c r="A1" s="58" t="s">
        <v>70</v>
      </c>
      <c r="B1" s="58"/>
      <c r="C1" s="58"/>
      <c r="D1" s="58"/>
      <c r="E1" s="58"/>
      <c r="F1" s="58"/>
      <c r="G1" s="58"/>
    </row>
    <row r="2" spans="1:7" ht="15" customHeight="1" x14ac:dyDescent="0.3">
      <c r="A2" s="55" t="s">
        <v>71</v>
      </c>
      <c r="B2" s="55"/>
      <c r="C2" s="55"/>
      <c r="D2" s="55"/>
      <c r="E2" s="55"/>
      <c r="F2" s="55"/>
      <c r="G2" s="55"/>
    </row>
    <row r="4" spans="1:7" ht="31.5" customHeight="1" x14ac:dyDescent="0.3">
      <c r="A4" s="1" t="s">
        <v>23</v>
      </c>
      <c r="B4" s="1" t="s">
        <v>24</v>
      </c>
      <c r="C4" s="1" t="s">
        <v>72</v>
      </c>
      <c r="D4" s="1" t="s">
        <v>73</v>
      </c>
      <c r="E4" s="1" t="s">
        <v>74</v>
      </c>
      <c r="F4" s="1" t="s">
        <v>75</v>
      </c>
      <c r="G4" s="1" t="s">
        <v>76</v>
      </c>
    </row>
    <row r="5" spans="1:7" ht="18" customHeight="1" x14ac:dyDescent="0.3">
      <c r="A5" s="8" t="s">
        <v>32</v>
      </c>
      <c r="B5" s="9" t="s">
        <v>33</v>
      </c>
      <c r="C5" s="10">
        <v>68937</v>
      </c>
      <c r="D5" s="13">
        <v>1000801</v>
      </c>
      <c r="E5" s="10">
        <f t="shared" ref="E5:E21" si="0">D5*0.1</f>
        <v>100080.1</v>
      </c>
      <c r="F5" s="10">
        <f t="shared" ref="F5:F21" si="1">D5*0.25</f>
        <v>250200.25</v>
      </c>
      <c r="G5" s="10">
        <f t="shared" ref="G5:G21" si="2">D5*0.5</f>
        <v>500400.5</v>
      </c>
    </row>
    <row r="6" spans="1:7" ht="18" customHeight="1" x14ac:dyDescent="0.3">
      <c r="A6" s="14" t="s">
        <v>40</v>
      </c>
      <c r="B6" s="15" t="s">
        <v>41</v>
      </c>
      <c r="C6" s="16">
        <v>8176</v>
      </c>
      <c r="D6" s="19">
        <v>122588</v>
      </c>
      <c r="E6" s="16">
        <f t="shared" si="0"/>
        <v>12258.800000000001</v>
      </c>
      <c r="F6" s="16">
        <f t="shared" si="1"/>
        <v>30647</v>
      </c>
      <c r="G6" s="16">
        <f t="shared" si="2"/>
        <v>61294</v>
      </c>
    </row>
    <row r="7" spans="1:7" ht="18" customHeight="1" x14ac:dyDescent="0.3">
      <c r="A7" s="8" t="s">
        <v>34</v>
      </c>
      <c r="B7" s="9" t="s">
        <v>35</v>
      </c>
      <c r="C7" s="10">
        <v>9565</v>
      </c>
      <c r="D7" s="13">
        <v>115684</v>
      </c>
      <c r="E7" s="10">
        <f t="shared" si="0"/>
        <v>11568.400000000001</v>
      </c>
      <c r="F7" s="10">
        <f t="shared" si="1"/>
        <v>28921</v>
      </c>
      <c r="G7" s="10">
        <f t="shared" si="2"/>
        <v>57842</v>
      </c>
    </row>
    <row r="8" spans="1:7" ht="18" customHeight="1" x14ac:dyDescent="0.3">
      <c r="A8" s="14" t="s">
        <v>36</v>
      </c>
      <c r="B8" s="15" t="s">
        <v>37</v>
      </c>
      <c r="C8" s="16">
        <v>8443</v>
      </c>
      <c r="D8" s="19">
        <v>101316</v>
      </c>
      <c r="E8" s="16">
        <f t="shared" si="0"/>
        <v>10131.6</v>
      </c>
      <c r="F8" s="16">
        <f t="shared" si="1"/>
        <v>25329</v>
      </c>
      <c r="G8" s="16">
        <f t="shared" si="2"/>
        <v>50658</v>
      </c>
    </row>
    <row r="9" spans="1:7" ht="18" customHeight="1" x14ac:dyDescent="0.3">
      <c r="A9" s="8" t="s">
        <v>38</v>
      </c>
      <c r="B9" s="9" t="s">
        <v>39</v>
      </c>
      <c r="C9" s="10">
        <v>7929</v>
      </c>
      <c r="D9" s="13">
        <v>95148</v>
      </c>
      <c r="E9" s="10">
        <f t="shared" si="0"/>
        <v>9514.8000000000011</v>
      </c>
      <c r="F9" s="10">
        <f t="shared" si="1"/>
        <v>23787</v>
      </c>
      <c r="G9" s="10">
        <f t="shared" si="2"/>
        <v>47574</v>
      </c>
    </row>
    <row r="10" spans="1:7" ht="18" customHeight="1" x14ac:dyDescent="0.3">
      <c r="A10" s="14" t="s">
        <v>42</v>
      </c>
      <c r="B10" s="15" t="s">
        <v>43</v>
      </c>
      <c r="C10" s="16">
        <v>3056</v>
      </c>
      <c r="D10" s="19">
        <v>47193</v>
      </c>
      <c r="E10" s="16">
        <f t="shared" si="0"/>
        <v>4719.3</v>
      </c>
      <c r="F10" s="16">
        <f t="shared" si="1"/>
        <v>11798.25</v>
      </c>
      <c r="G10" s="16">
        <f t="shared" si="2"/>
        <v>23596.5</v>
      </c>
    </row>
    <row r="11" spans="1:7" ht="18" customHeight="1" x14ac:dyDescent="0.3">
      <c r="A11" s="20" t="s">
        <v>44</v>
      </c>
      <c r="B11" s="21" t="s">
        <v>45</v>
      </c>
      <c r="C11" s="22">
        <v>12855</v>
      </c>
      <c r="D11" s="25">
        <v>157508</v>
      </c>
      <c r="E11" s="22">
        <f t="shared" si="0"/>
        <v>15750.800000000001</v>
      </c>
      <c r="F11" s="22">
        <f t="shared" si="1"/>
        <v>39377</v>
      </c>
      <c r="G11" s="22">
        <f t="shared" si="2"/>
        <v>78754</v>
      </c>
    </row>
    <row r="12" spans="1:7" ht="18" customHeight="1" x14ac:dyDescent="0.3">
      <c r="A12" s="20" t="s">
        <v>48</v>
      </c>
      <c r="B12" s="21" t="s">
        <v>49</v>
      </c>
      <c r="C12" s="22">
        <v>3742</v>
      </c>
      <c r="D12" s="25">
        <v>45200</v>
      </c>
      <c r="E12" s="22">
        <f t="shared" si="0"/>
        <v>4520</v>
      </c>
      <c r="F12" s="22">
        <f t="shared" si="1"/>
        <v>11300</v>
      </c>
      <c r="G12" s="22">
        <f t="shared" si="2"/>
        <v>22600</v>
      </c>
    </row>
    <row r="13" spans="1:7" ht="18" customHeight="1" x14ac:dyDescent="0.3">
      <c r="A13" s="20" t="s">
        <v>46</v>
      </c>
      <c r="B13" s="21" t="s">
        <v>47</v>
      </c>
      <c r="C13" s="22">
        <v>3734</v>
      </c>
      <c r="D13" s="25">
        <v>44808</v>
      </c>
      <c r="E13" s="22">
        <f t="shared" si="0"/>
        <v>4480.8</v>
      </c>
      <c r="F13" s="22">
        <f t="shared" si="1"/>
        <v>11202</v>
      </c>
      <c r="G13" s="22">
        <f t="shared" si="2"/>
        <v>22404</v>
      </c>
    </row>
    <row r="14" spans="1:7" ht="18" customHeight="1" x14ac:dyDescent="0.3">
      <c r="A14" s="20" t="s">
        <v>50</v>
      </c>
      <c r="B14" s="21" t="s">
        <v>51</v>
      </c>
      <c r="C14" s="22">
        <v>2308</v>
      </c>
      <c r="D14" s="25">
        <v>29320</v>
      </c>
      <c r="E14" s="22">
        <f t="shared" si="0"/>
        <v>2932</v>
      </c>
      <c r="F14" s="22">
        <f t="shared" si="1"/>
        <v>7330</v>
      </c>
      <c r="G14" s="22">
        <f t="shared" si="2"/>
        <v>14660</v>
      </c>
    </row>
    <row r="15" spans="1:7" ht="18" customHeight="1" x14ac:dyDescent="0.3">
      <c r="A15" s="20" t="s">
        <v>52</v>
      </c>
      <c r="B15" s="21" t="s">
        <v>53</v>
      </c>
      <c r="C15" s="22">
        <v>1204</v>
      </c>
      <c r="D15" s="25">
        <v>14448</v>
      </c>
      <c r="E15" s="22">
        <f t="shared" si="0"/>
        <v>1444.8000000000002</v>
      </c>
      <c r="F15" s="22">
        <f t="shared" si="1"/>
        <v>3612</v>
      </c>
      <c r="G15" s="22">
        <f t="shared" si="2"/>
        <v>7224</v>
      </c>
    </row>
    <row r="16" spans="1:7" ht="18" customHeight="1" x14ac:dyDescent="0.3">
      <c r="A16" s="20" t="s">
        <v>58</v>
      </c>
      <c r="B16" s="21" t="s">
        <v>59</v>
      </c>
      <c r="C16" s="22">
        <v>1040</v>
      </c>
      <c r="D16" s="25">
        <v>14424</v>
      </c>
      <c r="E16" s="22">
        <f t="shared" si="0"/>
        <v>1442.4</v>
      </c>
      <c r="F16" s="22">
        <f t="shared" si="1"/>
        <v>3606</v>
      </c>
      <c r="G16" s="22">
        <f t="shared" si="2"/>
        <v>7212</v>
      </c>
    </row>
    <row r="17" spans="1:7" ht="18" customHeight="1" x14ac:dyDescent="0.3">
      <c r="A17" s="20" t="s">
        <v>54</v>
      </c>
      <c r="B17" s="21" t="s">
        <v>55</v>
      </c>
      <c r="C17" s="22">
        <v>1071</v>
      </c>
      <c r="D17" s="25">
        <v>12852</v>
      </c>
      <c r="E17" s="22">
        <f t="shared" si="0"/>
        <v>1285.2</v>
      </c>
      <c r="F17" s="22">
        <f t="shared" si="1"/>
        <v>3213</v>
      </c>
      <c r="G17" s="22">
        <f t="shared" si="2"/>
        <v>6426</v>
      </c>
    </row>
    <row r="18" spans="1:7" ht="18" customHeight="1" x14ac:dyDescent="0.3">
      <c r="A18" s="20" t="s">
        <v>56</v>
      </c>
      <c r="B18" s="21" t="s">
        <v>57</v>
      </c>
      <c r="C18" s="22">
        <v>851</v>
      </c>
      <c r="D18" s="25">
        <v>10220</v>
      </c>
      <c r="E18" s="22">
        <f t="shared" si="0"/>
        <v>1022</v>
      </c>
      <c r="F18" s="22">
        <f t="shared" si="1"/>
        <v>2555</v>
      </c>
      <c r="G18" s="22">
        <f t="shared" si="2"/>
        <v>5110</v>
      </c>
    </row>
    <row r="19" spans="1:7" ht="18" customHeight="1" x14ac:dyDescent="0.3">
      <c r="A19" s="20" t="s">
        <v>60</v>
      </c>
      <c r="B19" s="21" t="s">
        <v>61</v>
      </c>
      <c r="C19" s="22">
        <v>406</v>
      </c>
      <c r="D19" s="25">
        <v>4872</v>
      </c>
      <c r="E19" s="22">
        <f t="shared" si="0"/>
        <v>487.20000000000005</v>
      </c>
      <c r="F19" s="22">
        <f t="shared" si="1"/>
        <v>1218</v>
      </c>
      <c r="G19" s="22">
        <f t="shared" si="2"/>
        <v>2436</v>
      </c>
    </row>
    <row r="20" spans="1:7" ht="18" customHeight="1" x14ac:dyDescent="0.3">
      <c r="A20" s="20" t="s">
        <v>62</v>
      </c>
      <c r="B20" s="21" t="s">
        <v>35</v>
      </c>
      <c r="C20" s="22">
        <v>28</v>
      </c>
      <c r="D20" s="25">
        <v>336</v>
      </c>
      <c r="E20" s="22">
        <f t="shared" si="0"/>
        <v>33.6</v>
      </c>
      <c r="F20" s="22">
        <f t="shared" si="1"/>
        <v>84</v>
      </c>
      <c r="G20" s="22">
        <f t="shared" si="2"/>
        <v>168</v>
      </c>
    </row>
    <row r="21" spans="1:7" ht="18" customHeight="1" x14ac:dyDescent="0.3">
      <c r="A21" s="26" t="s">
        <v>63</v>
      </c>
      <c r="B21" s="27" t="s">
        <v>64</v>
      </c>
      <c r="C21" s="28">
        <v>29795</v>
      </c>
      <c r="D21" s="31">
        <v>471609</v>
      </c>
      <c r="E21" s="28">
        <f t="shared" si="0"/>
        <v>47160.9</v>
      </c>
      <c r="F21" s="28">
        <f t="shared" si="1"/>
        <v>117902.25</v>
      </c>
      <c r="G21" s="28">
        <f t="shared" si="2"/>
        <v>235804.5</v>
      </c>
    </row>
    <row r="23" spans="1:7" ht="19.5" customHeight="1" x14ac:dyDescent="0.3">
      <c r="A23" s="59" t="s">
        <v>77</v>
      </c>
      <c r="B23" s="59"/>
      <c r="C23" s="33">
        <f>SUM(C5:C21)</f>
        <v>163140</v>
      </c>
      <c r="D23" s="33">
        <f>SUM(D5:D21)</f>
        <v>2288327</v>
      </c>
      <c r="E23" s="33">
        <f>SUM(E5:E21)</f>
        <v>228832.69999999998</v>
      </c>
      <c r="F23" s="33">
        <f>SUM(F5:F21)</f>
        <v>572081.75</v>
      </c>
      <c r="G23" s="33">
        <f>SUM(G5:G21)</f>
        <v>1144163.5</v>
      </c>
    </row>
    <row r="24" spans="1:7" ht="19.5" customHeight="1" x14ac:dyDescent="0.3">
      <c r="A24" s="60" t="s">
        <v>78</v>
      </c>
      <c r="B24" s="60"/>
      <c r="C24" s="35">
        <f>C5+C6+C7+C8+C9+C10</f>
        <v>106106</v>
      </c>
      <c r="D24" s="35">
        <f>D5+D6+D7+D8+D9+D10</f>
        <v>1482730</v>
      </c>
      <c r="E24" s="35">
        <f>E5+E6+E7+E8+E9+E10</f>
        <v>148273</v>
      </c>
      <c r="F24" s="35">
        <f>F5+F6+F7+F8+F9+F10</f>
        <v>370682.5</v>
      </c>
      <c r="G24" s="35">
        <f>G5+G6+G7+G8+G9+G10</f>
        <v>741365</v>
      </c>
    </row>
  </sheetData>
  <mergeCells count="4">
    <mergeCell ref="A1:G1"/>
    <mergeCell ref="A2:G2"/>
    <mergeCell ref="A23:B23"/>
    <mergeCell ref="A24:B2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showGridLines="0" zoomScaleNormal="100" workbookViewId="0">
      <selection activeCell="B32" sqref="B32"/>
    </sheetView>
  </sheetViews>
  <sheetFormatPr defaultColWidth="8.6640625" defaultRowHeight="14.4" x14ac:dyDescent="0.3"/>
  <cols>
    <col min="1" max="1" width="24" customWidth="1"/>
    <col min="2" max="2" width="20" customWidth="1"/>
    <col min="3" max="3" width="14" customWidth="1"/>
    <col min="4" max="4" width="24.77734375" bestFit="1" customWidth="1"/>
  </cols>
  <sheetData>
    <row r="1" spans="1:4" ht="31.5" customHeight="1" x14ac:dyDescent="0.3">
      <c r="A1" s="48" t="s">
        <v>79</v>
      </c>
      <c r="B1" s="48"/>
      <c r="C1" s="48"/>
      <c r="D1" s="48"/>
    </row>
    <row r="2" spans="1:4" ht="24" customHeight="1" x14ac:dyDescent="0.3">
      <c r="A2" s="49" t="s">
        <v>80</v>
      </c>
      <c r="B2" s="49"/>
      <c r="C2" s="49"/>
      <c r="D2" s="49"/>
    </row>
    <row r="4" spans="1:4" ht="26.4" x14ac:dyDescent="0.3">
      <c r="A4" s="1" t="s">
        <v>81</v>
      </c>
      <c r="B4" s="1" t="s">
        <v>82</v>
      </c>
      <c r="C4" s="1" t="s">
        <v>83</v>
      </c>
      <c r="D4" s="1" t="s">
        <v>12</v>
      </c>
    </row>
    <row r="5" spans="1:4" ht="15.75" customHeight="1" x14ac:dyDescent="0.3">
      <c r="A5" s="8" t="s">
        <v>84</v>
      </c>
      <c r="B5" s="38" t="s">
        <v>85</v>
      </c>
      <c r="C5" s="39">
        <v>96837.2</v>
      </c>
      <c r="D5" s="40" t="s">
        <v>86</v>
      </c>
    </row>
    <row r="6" spans="1:4" ht="15.75" customHeight="1" x14ac:dyDescent="0.3">
      <c r="A6" s="14" t="s">
        <v>87</v>
      </c>
      <c r="B6" s="41" t="s">
        <v>40</v>
      </c>
      <c r="C6" s="42">
        <v>21362.87</v>
      </c>
      <c r="D6" s="43" t="s">
        <v>88</v>
      </c>
    </row>
    <row r="7" spans="1:4" ht="15.75" customHeight="1" x14ac:dyDescent="0.3">
      <c r="A7" s="26" t="s">
        <v>89</v>
      </c>
      <c r="B7" s="44" t="s">
        <v>90</v>
      </c>
      <c r="C7" s="45">
        <v>15079.08</v>
      </c>
      <c r="D7" s="46" t="s">
        <v>91</v>
      </c>
    </row>
    <row r="8" spans="1:4" ht="15.75" customHeight="1" x14ac:dyDescent="0.3">
      <c r="A8" s="14" t="s">
        <v>92</v>
      </c>
      <c r="B8" s="41" t="s">
        <v>93</v>
      </c>
      <c r="C8" s="42">
        <v>11392.45</v>
      </c>
      <c r="D8" s="43" t="s">
        <v>94</v>
      </c>
    </row>
    <row r="9" spans="1:4" ht="15.75" customHeight="1" x14ac:dyDescent="0.3">
      <c r="A9" s="8" t="s">
        <v>95</v>
      </c>
      <c r="B9" s="38" t="s">
        <v>46</v>
      </c>
      <c r="C9" s="39">
        <v>11042.45</v>
      </c>
      <c r="D9" s="40" t="s">
        <v>96</v>
      </c>
    </row>
    <row r="10" spans="1:4" ht="15.75" customHeight="1" x14ac:dyDescent="0.3">
      <c r="A10" s="14" t="s">
        <v>97</v>
      </c>
      <c r="B10" s="41" t="s">
        <v>42</v>
      </c>
      <c r="C10" s="42">
        <v>8772.2900000000009</v>
      </c>
      <c r="D10" s="43" t="s">
        <v>98</v>
      </c>
    </row>
    <row r="11" spans="1:4" ht="15.75" customHeight="1" x14ac:dyDescent="0.3">
      <c r="A11" s="8" t="s">
        <v>99</v>
      </c>
      <c r="B11" s="38" t="s">
        <v>52</v>
      </c>
      <c r="C11" s="39">
        <v>854.38</v>
      </c>
      <c r="D11" s="40" t="s">
        <v>98</v>
      </c>
    </row>
    <row r="12" spans="1:4" ht="15.75" customHeight="1" x14ac:dyDescent="0.3">
      <c r="A12" s="14" t="s">
        <v>100</v>
      </c>
      <c r="B12" s="41" t="s">
        <v>48</v>
      </c>
      <c r="C12" s="42">
        <v>643.77</v>
      </c>
      <c r="D12" s="43" t="s">
        <v>98</v>
      </c>
    </row>
    <row r="13" spans="1:4" ht="15.75" customHeight="1" x14ac:dyDescent="0.3">
      <c r="A13" s="8" t="s">
        <v>101</v>
      </c>
      <c r="B13" s="38" t="s">
        <v>44</v>
      </c>
      <c r="C13" s="39">
        <v>767.06</v>
      </c>
      <c r="D13" s="40" t="s">
        <v>98</v>
      </c>
    </row>
    <row r="14" spans="1:4" ht="15.75" customHeight="1" x14ac:dyDescent="0.3">
      <c r="A14" s="14" t="s">
        <v>57</v>
      </c>
      <c r="B14" s="41" t="s">
        <v>56</v>
      </c>
      <c r="C14" s="42">
        <v>189.66</v>
      </c>
      <c r="D14" s="43" t="s">
        <v>98</v>
      </c>
    </row>
    <row r="15" spans="1:4" ht="15.75" customHeight="1" x14ac:dyDescent="0.3">
      <c r="A15" s="8" t="s">
        <v>102</v>
      </c>
      <c r="B15" s="38" t="s">
        <v>34</v>
      </c>
      <c r="C15" s="39">
        <v>39.880000000000003</v>
      </c>
      <c r="D15" s="40" t="s">
        <v>103</v>
      </c>
    </row>
    <row r="16" spans="1:4" ht="19.5" customHeight="1" x14ac:dyDescent="0.3">
      <c r="A16" s="50" t="s">
        <v>104</v>
      </c>
      <c r="B16" s="50"/>
      <c r="C16" s="47">
        <f>SUM(C5:C15)</f>
        <v>166981.09000000003</v>
      </c>
      <c r="D16" s="32"/>
    </row>
    <row r="18" spans="1:4" ht="30" customHeight="1" x14ac:dyDescent="0.3">
      <c r="A18" s="51" t="s">
        <v>105</v>
      </c>
      <c r="B18" s="51"/>
      <c r="C18" s="51"/>
      <c r="D18" s="51"/>
    </row>
  </sheetData>
  <mergeCells count="4">
    <mergeCell ref="A1:D1"/>
    <mergeCell ref="A2:D2"/>
    <mergeCell ref="A16:B16"/>
    <mergeCell ref="A18:D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Total Potential</vt:lpstr>
      <vt:lpstr>Country Summary</vt:lpstr>
      <vt:lpstr>Besco Baseline (Current)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Jerome Van Der Pluym</cp:lastModifiedBy>
  <cp:revision>0</cp:revision>
  <dcterms:created xsi:type="dcterms:W3CDTF">2026-04-17T10:55:39Z</dcterms:created>
  <dcterms:modified xsi:type="dcterms:W3CDTF">2026-05-15T08:41:15Z</dcterms:modified>
  <dc:language>en-US</dc:language>
</cp:coreProperties>
</file>